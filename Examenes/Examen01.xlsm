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MEN\Documents\WorkSpace\VBA\"/>
    </mc:Choice>
  </mc:AlternateContent>
  <xr:revisionPtr revIDLastSave="0" documentId="13_ncr:1_{72A02697-D14B-4770-A4E0-10890930D6A7}" xr6:coauthVersionLast="37" xr6:coauthVersionMax="37" xr10:uidLastSave="{00000000-0000-0000-0000-000000000000}"/>
  <bookViews>
    <workbookView xWindow="0" yWindow="0" windowWidth="23040" windowHeight="7968" activeTab="1" xr2:uid="{B5197981-7E02-4C74-BB4F-69636972FF03}"/>
  </bookViews>
  <sheets>
    <sheet name="Hoja1" sheetId="1" r:id="rId1"/>
    <sheet name="Hoja2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2" l="1"/>
  <c r="M6" i="2"/>
  <c r="L6" i="2"/>
  <c r="K6" i="2"/>
  <c r="L10" i="2"/>
  <c r="K10" i="2"/>
  <c r="H7" i="2"/>
  <c r="M7" i="2" s="1"/>
  <c r="H8" i="2"/>
  <c r="H9" i="2"/>
  <c r="H10" i="2"/>
  <c r="H11" i="2"/>
  <c r="N7" i="2" s="1"/>
  <c r="H12" i="2"/>
  <c r="L7" i="2" s="1"/>
  <c r="H13" i="2"/>
  <c r="H14" i="2"/>
  <c r="H15" i="2"/>
  <c r="H16" i="2"/>
  <c r="H17" i="2"/>
  <c r="H18" i="2"/>
  <c r="K7" i="2" s="1"/>
  <c r="H19" i="2"/>
  <c r="H20" i="2"/>
  <c r="H6" i="2"/>
  <c r="L11" i="2" s="1"/>
  <c r="C10" i="1"/>
  <c r="D10" i="1"/>
  <c r="E10" i="1"/>
  <c r="F10" i="1"/>
  <c r="G10" i="1"/>
  <c r="H10" i="1"/>
  <c r="I10" i="1"/>
  <c r="J10" i="1"/>
  <c r="K10" i="1"/>
  <c r="L10" i="1"/>
  <c r="M10" i="1"/>
  <c r="N10" i="1"/>
  <c r="C18" i="1"/>
  <c r="D18" i="1"/>
  <c r="E18" i="1"/>
  <c r="F18" i="1"/>
  <c r="G18" i="1"/>
  <c r="H18" i="1"/>
  <c r="I18" i="1"/>
  <c r="J18" i="1"/>
  <c r="K18" i="1"/>
  <c r="L18" i="1"/>
  <c r="M18" i="1"/>
  <c r="N18" i="1"/>
  <c r="C20" i="1"/>
  <c r="D20" i="1"/>
  <c r="E20" i="1"/>
  <c r="F20" i="1"/>
  <c r="G20" i="1"/>
  <c r="H20" i="1"/>
  <c r="I20" i="1"/>
  <c r="J20" i="1"/>
  <c r="K20" i="1"/>
  <c r="L20" i="1"/>
  <c r="M20" i="1"/>
  <c r="N20" i="1"/>
  <c r="K11" i="2" l="1"/>
</calcChain>
</file>

<file path=xl/sharedStrings.xml><?xml version="1.0" encoding="utf-8"?>
<sst xmlns="http://schemas.openxmlformats.org/spreadsheetml/2006/main" count="107" uniqueCount="75">
  <si>
    <t>PRESUPUESTO PERSONAL ANUAL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</si>
  <si>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</si>
  <si>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</si>
  <si>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</si>
  <si>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</si>
  <si>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</si>
  <si>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</si>
  <si>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</si>
  <si>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</si>
  <si>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</si>
  <si>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</si>
  <si>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</si>
  <si>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</si>
  <si>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INGRESOS</t>
  </si>
  <si>
    <t>Sueldos</t>
  </si>
  <si>
    <t>Trabjos</t>
  </si>
  <si>
    <t>Gratiicaciones</t>
  </si>
  <si>
    <t>EGRESOS</t>
  </si>
  <si>
    <t>Diario</t>
  </si>
  <si>
    <t>Educacion</t>
  </si>
  <si>
    <t>Servicios</t>
  </si>
  <si>
    <t>Vestido</t>
  </si>
  <si>
    <t>Total de egresos</t>
  </si>
  <si>
    <t>Ingresos - Egresos</t>
  </si>
  <si>
    <t>Total de ingresos</t>
  </si>
  <si>
    <t>Acumulado</t>
  </si>
  <si>
    <t>AUMENTO DE SUELDOS</t>
  </si>
  <si>
    <t>APELLIDOS</t>
  </si>
  <si>
    <t>NOMBRES</t>
  </si>
  <si>
    <t>GENERO</t>
  </si>
  <si>
    <t>CATEGORIA</t>
  </si>
  <si>
    <t>SUELDO</t>
  </si>
  <si>
    <t>AUMENTO</t>
  </si>
  <si>
    <t>TOTAL</t>
  </si>
  <si>
    <t>SALAZAR</t>
  </si>
  <si>
    <t>ALBERTO</t>
  </si>
  <si>
    <t>M</t>
  </si>
  <si>
    <t>A</t>
  </si>
  <si>
    <t>VERGARSY</t>
  </si>
  <si>
    <t>FERNANDA</t>
  </si>
  <si>
    <t>F</t>
  </si>
  <si>
    <t>C</t>
  </si>
  <si>
    <t>NARVAEZ</t>
  </si>
  <si>
    <t>CARLA</t>
  </si>
  <si>
    <t>COAQUIRA</t>
  </si>
  <si>
    <t>SIMEON</t>
  </si>
  <si>
    <t>JOAO</t>
  </si>
  <si>
    <t>MARIA</t>
  </si>
  <si>
    <t>ESCOBEDO</t>
  </si>
  <si>
    <t>LUISA</t>
  </si>
  <si>
    <t>D</t>
  </si>
  <si>
    <t>LOYOLA</t>
  </si>
  <si>
    <t>INOCENCIA</t>
  </si>
  <si>
    <t>B</t>
  </si>
  <si>
    <t>ESPINOZA</t>
  </si>
  <si>
    <t>GLORIA</t>
  </si>
  <si>
    <t>NEYRA</t>
  </si>
  <si>
    <t>SANTIAGO</t>
  </si>
  <si>
    <t>MOSQUERA</t>
  </si>
  <si>
    <t>LUCIA</t>
  </si>
  <si>
    <t>IBARRA</t>
  </si>
  <si>
    <t>DANIELA</t>
  </si>
  <si>
    <t>HUAMAN</t>
  </si>
  <si>
    <t>AMERICO</t>
  </si>
  <si>
    <t>DIAZ</t>
  </si>
  <si>
    <t>DIANA</t>
  </si>
  <si>
    <t>PERALTA</t>
  </si>
  <si>
    <t>DANIEL</t>
  </si>
  <si>
    <t>ORIHUELA</t>
  </si>
  <si>
    <t>ORLANDO</t>
  </si>
  <si>
    <t>RESUMEN POR CATEGORIA Y GENERO DE LOS TRABAJADORES</t>
  </si>
  <si>
    <t>CANTIDAD</t>
  </si>
  <si>
    <t>TOTAL DE SUELDO</t>
  </si>
  <si>
    <t>FEMENINO</t>
  </si>
  <si>
    <t>MASCULINO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</si>
</sst>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S/&quot;* #,##0.00_-;\-&quot;S/&quot;* #,##0.00_-;_-&quot;S/&quot;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textRotation="90"/>
    </xf>
    <xf numFmtId="0" fontId="0" fillId="0" borderId="1" xfId="0" applyBorder="1"/>
    <xf numFmtId="0" fontId="5" fillId="4" borderId="1" xfId="0" applyFont="1" applyFill="1" applyBorder="1"/>
    <xf numFmtId="0" fontId="2" fillId="4" borderId="1" xfId="0" applyFont="1" applyFill="1" applyBorder="1"/>
    <xf numFmtId="0" fontId="5" fillId="4" borderId="1" xfId="0" applyFont="1" applyFill="1" applyBorder="1"/>
    <xf numFmtId="0" fontId="6" fillId="5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4" fontId="0" fillId="7" borderId="1" xfId="0" applyNumberFormat="1" applyFill="1" applyBorder="1" applyAlignment="1">
      <alignment horizontal="center"/>
    </xf>
    <xf numFmtId="44" fontId="0" fillId="8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502920</xdr:colOff>
          <xdr:row>4</xdr:row>
          <xdr:rowOff>106680</xdr:rowOff>
        </xdr:from>
        <xdr:to>
          <xdr:col>16</xdr:col>
          <xdr:colOff>693420</xdr:colOff>
          <xdr:row>7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3E3EF8A-2FE8-4714-AD0A-3DE9FD9C9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678180</xdr:colOff>
          <xdr:row>11</xdr:row>
          <xdr:rowOff>160020</xdr:rowOff>
        </xdr:from>
        <xdr:to>
          <xdr:col>17</xdr:col>
          <xdr:colOff>281940</xdr:colOff>
          <xdr:row>14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E5C8EC0-F926-4D2A-849D-E5A083BFD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formato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624840</xdr:colOff>
      <xdr:row>25</xdr:row>
      <xdr:rowOff>144780</xdr:rowOff>
    </xdr:from>
    <xdr:to>
      <xdr:col>6</xdr:col>
      <xdr:colOff>251460</xdr:colOff>
      <xdr:row>35</xdr:row>
      <xdr:rowOff>7620</xdr:rowOff>
    </xdr:to>
    <xdr:sp macro="" textlink="">
      <xdr:nvSpPr>
        <xdr:cNvPr id="6" name="Bocadillo nube: nube 5">
          <a:extLst>
            <a:ext uri="{FF2B5EF4-FFF2-40B4-BE49-F238E27FC236}">
              <a16:creationId xmlns:a16="http://schemas.microsoft.com/office/drawing/2014/main" id="{459F393A-6051-4949-90B9-68F43815B69F}"/>
            </a:ext>
          </a:extLst>
        </xdr:cNvPr>
        <xdr:cNvSpPr/>
      </xdr:nvSpPr>
      <xdr:spPr>
        <a:xfrm>
          <a:off x="2613660" y="5448300"/>
          <a:ext cx="2796540" cy="1691640"/>
        </a:xfrm>
        <a:prstGeom prst="cloudCallou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563880</xdr:colOff>
      <xdr:row>24</xdr:row>
      <xdr:rowOff>99060</xdr:rowOff>
    </xdr:from>
    <xdr:to>
      <xdr:col>11</xdr:col>
      <xdr:colOff>182880</xdr:colOff>
      <xdr:row>35</xdr:row>
      <xdr:rowOff>53340</xdr:rowOff>
    </xdr:to>
    <xdr:sp macro="" textlink="">
      <xdr:nvSpPr>
        <xdr:cNvPr id="7" name="Sol 6">
          <a:extLst>
            <a:ext uri="{FF2B5EF4-FFF2-40B4-BE49-F238E27FC236}">
              <a16:creationId xmlns:a16="http://schemas.microsoft.com/office/drawing/2014/main" id="{314166D8-BF07-473A-8AB7-479B23EE907D}"/>
            </a:ext>
          </a:extLst>
        </xdr:cNvPr>
        <xdr:cNvSpPr/>
      </xdr:nvSpPr>
      <xdr:spPr>
        <a:xfrm>
          <a:off x="6515100" y="5219700"/>
          <a:ext cx="2788920" cy="1965960"/>
        </a:xfrm>
        <a:prstGeom prst="sun">
          <a:avLst/>
        </a:prstGeom>
        <a:blipFill dpi="0" rotWithShape="1">
          <a:blip xmlns:r="http://schemas.openxmlformats.org/officeDocument/2006/relationships" r:embed="rId2"/>
          <a:srcRect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</xdr:col>
      <xdr:colOff>624840</xdr:colOff>
      <xdr:row>25</xdr:row>
      <xdr:rowOff>144780</xdr:rowOff>
    </xdr:from>
    <xdr:to>
      <xdr:col>6</xdr:col>
      <xdr:colOff>251460</xdr:colOff>
      <xdr:row>35</xdr:row>
      <xdr:rowOff>7620</xdr:rowOff>
    </xdr:to>
    <xdr:sp macro="" textlink="">
      <xdr:nvSpPr>
        <xdr:cNvPr id="8" name="Bocadillo nube: nube 7">
          <a:extLst>
            <a:ext uri="{FF2B5EF4-FFF2-40B4-BE49-F238E27FC236}">
              <a16:creationId xmlns:a16="http://schemas.microsoft.com/office/drawing/2014/main" id="{EAD246BE-6329-43D7-AE09-8DFEA8C7314A}"/>
            </a:ext>
          </a:extLst>
        </xdr:cNvPr>
        <xdr:cNvSpPr/>
      </xdr:nvSpPr>
      <xdr:spPr>
        <a:xfrm>
          <a:off x="2613660" y="5448300"/>
          <a:ext cx="2796540" cy="1691640"/>
        </a:xfrm>
        <a:prstGeom prst="cloudCallou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563880</xdr:colOff>
      <xdr:row>24</xdr:row>
      <xdr:rowOff>99060</xdr:rowOff>
    </xdr:from>
    <xdr:to>
      <xdr:col>11</xdr:col>
      <xdr:colOff>182880</xdr:colOff>
      <xdr:row>35</xdr:row>
      <xdr:rowOff>53340</xdr:rowOff>
    </xdr:to>
    <xdr:sp macro="" textlink="">
      <xdr:nvSpPr>
        <xdr:cNvPr id="9" name="Sol 8">
          <a:extLst>
            <a:ext uri="{FF2B5EF4-FFF2-40B4-BE49-F238E27FC236}">
              <a16:creationId xmlns:a16="http://schemas.microsoft.com/office/drawing/2014/main" id="{FB372E4F-B501-4CCB-8E1F-D8C1D65FE523}"/>
            </a:ext>
          </a:extLst>
        </xdr:cNvPr>
        <xdr:cNvSpPr/>
      </xdr:nvSpPr>
      <xdr:spPr>
        <a:xfrm>
          <a:off x="6515100" y="5219700"/>
          <a:ext cx="2788920" cy="1965960"/>
        </a:xfrm>
        <a:prstGeom prst="sun">
          <a:avLst/>
        </a:prstGeom>
        <a:blipFill dpi="0" rotWithShape="1">
          <a:blip xmlns:r="http://schemas.openxmlformats.org/officeDocument/2006/relationships" r:embed="rId2"/>
          <a:srcRect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</xdr:col>
      <xdr:colOff>624840</xdr:colOff>
      <xdr:row>25</xdr:row>
      <xdr:rowOff>144780</xdr:rowOff>
    </xdr:from>
    <xdr:to>
      <xdr:col>6</xdr:col>
      <xdr:colOff>251460</xdr:colOff>
      <xdr:row>35</xdr:row>
      <xdr:rowOff>7620</xdr:rowOff>
    </xdr:to>
    <xdr:sp macro="" textlink="">
      <xdr:nvSpPr>
        <xdr:cNvPr id="10" name="Bocadillo nube: nube 9">
          <a:extLst>
            <a:ext uri="{FF2B5EF4-FFF2-40B4-BE49-F238E27FC236}">
              <a16:creationId xmlns:a16="http://schemas.microsoft.com/office/drawing/2014/main" id="{17248D7D-C80E-46D6-98CE-5DE14E6FBAA9}"/>
            </a:ext>
          </a:extLst>
        </xdr:cNvPr>
        <xdr:cNvSpPr/>
      </xdr:nvSpPr>
      <xdr:spPr>
        <a:xfrm>
          <a:off x="2613660" y="5448300"/>
          <a:ext cx="2796540" cy="1691640"/>
        </a:xfrm>
        <a:prstGeom prst="cloudCallou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563880</xdr:colOff>
      <xdr:row>24</xdr:row>
      <xdr:rowOff>99060</xdr:rowOff>
    </xdr:from>
    <xdr:to>
      <xdr:col>11</xdr:col>
      <xdr:colOff>182880</xdr:colOff>
      <xdr:row>35</xdr:row>
      <xdr:rowOff>53340</xdr:rowOff>
    </xdr:to>
    <xdr:sp macro="" textlink="">
      <xdr:nvSpPr>
        <xdr:cNvPr id="11" name="Sol 10">
          <a:extLst>
            <a:ext uri="{FF2B5EF4-FFF2-40B4-BE49-F238E27FC236}">
              <a16:creationId xmlns:a16="http://schemas.microsoft.com/office/drawing/2014/main" id="{0F66D339-4ECA-400F-B20C-1AF91400E0D3}"/>
            </a:ext>
          </a:extLst>
        </xdr:cNvPr>
        <xdr:cNvSpPr/>
      </xdr:nvSpPr>
      <xdr:spPr>
        <a:xfrm>
          <a:off x="6515100" y="5219700"/>
          <a:ext cx="2788920" cy="1965960"/>
        </a:xfrm>
        <a:prstGeom prst="sun">
          <a:avLst/>
        </a:prstGeom>
        <a:blipFill dpi="0" rotWithShape="1">
          <a:blip xmlns:r="http://schemas.openxmlformats.org/officeDocument/2006/relationships" r:embed="rId2"/>
          <a:srcRect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22860</xdr:rowOff>
        </xdr:from>
        <xdr:to>
          <xdr:col>10</xdr:col>
          <xdr:colOff>388620</xdr:colOff>
          <xdr:row>17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ADD3CEA-A1A9-4582-9F72-BCE559ED4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Aplicar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D05B3-BCC7-4636-A82F-FBC323830780}">
  <sheetPr codeName="Hoja1"/>
  <dimension ref="B3:N22"/>
  <sheetViews>
    <sheetView topLeftCell="B10" workbookViewId="0">
      <selection activeCell="B22" sqref="B22"/>
    </sheetView>
  </sheetViews>
  <sheetFormatPr baseColWidth="10" defaultRowHeight="14.4" x14ac:dyDescent="0.3"/>
  <cols>
    <col min="2" max="2" width="17.44140625" customWidth="1"/>
  </cols>
  <sheetData>
    <row r="3" spans="2:14" ht="21" x14ac:dyDescent="0.4">
      <c r="B3" s="1" t="s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2:14" ht="61.8" x14ac:dyDescent="0.3"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</row>
    <row r="5" spans="2:14" ht="15.6" x14ac:dyDescent="0.3">
      <c r="B5" s="4" t="s">
        <v>13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2:14" x14ac:dyDescent="0.3">
      <c r="B6" s="3" t="s">
        <v>14</v>
      </c>
      <c r="C6" s="3">
        <v>1400</v>
      </c>
      <c r="D6" s="3">
        <v>1400</v>
      </c>
      <c r="E6" s="3">
        <v>1400</v>
      </c>
      <c r="F6" s="3">
        <v>1400</v>
      </c>
      <c r="G6" s="3">
        <v>1400</v>
      </c>
      <c r="H6" s="3">
        <v>1400</v>
      </c>
      <c r="I6" s="3">
        <v>1400</v>
      </c>
      <c r="J6" s="3">
        <v>1400</v>
      </c>
      <c r="K6" s="3">
        <v>1400</v>
      </c>
      <c r="L6" s="3">
        <v>1400</v>
      </c>
      <c r="M6" s="3">
        <v>1400</v>
      </c>
      <c r="N6" s="3">
        <v>1400</v>
      </c>
    </row>
    <row r="7" spans="2:14" x14ac:dyDescent="0.3">
      <c r="B7" s="3" t="s">
        <v>15</v>
      </c>
      <c r="C7" s="3">
        <v>300</v>
      </c>
      <c r="D7" s="3">
        <v>300</v>
      </c>
      <c r="E7" s="3">
        <v>300</v>
      </c>
      <c r="F7" s="3">
        <v>300</v>
      </c>
      <c r="G7" s="3">
        <v>300</v>
      </c>
      <c r="H7" s="3">
        <v>300</v>
      </c>
      <c r="I7" s="3">
        <v>300</v>
      </c>
      <c r="J7" s="3">
        <v>300</v>
      </c>
      <c r="K7" s="3">
        <v>300</v>
      </c>
      <c r="L7" s="3">
        <v>300</v>
      </c>
      <c r="M7" s="3">
        <v>300</v>
      </c>
      <c r="N7" s="3">
        <v>300</v>
      </c>
    </row>
    <row r="8" spans="2:14" x14ac:dyDescent="0.3">
      <c r="B8" s="3" t="s">
        <v>16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</row>
    <row r="9" spans="2:14" x14ac:dyDescent="0.3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2:14" ht="15.6" x14ac:dyDescent="0.3">
      <c r="B10" s="6" t="s">
        <v>24</v>
      </c>
      <c r="C10" s="3">
        <f>SUM(C6:C8)</f>
        <v>1700</v>
      </c>
      <c r="D10" s="3">
        <f>SUM(D6:D8)</f>
        <v>1700</v>
      </c>
      <c r="E10" s="3">
        <f>SUM(E6:E8)</f>
        <v>1700</v>
      </c>
      <c r="F10" s="3">
        <f>SUM(F6:F8)</f>
        <v>1700</v>
      </c>
      <c r="G10" s="3">
        <f>SUM(G6:G8)</f>
        <v>1700</v>
      </c>
      <c r="H10" s="3">
        <f>SUM(H6:H8)</f>
        <v>1700</v>
      </c>
      <c r="I10" s="3">
        <f>SUM(I6:I8)</f>
        <v>1700</v>
      </c>
      <c r="J10" s="3">
        <f>SUM(J6:J8)</f>
        <v>1700</v>
      </c>
      <c r="K10" s="3">
        <f>SUM(K6:K8)</f>
        <v>1700</v>
      </c>
      <c r="L10" s="3">
        <f>SUM(L6:L8)</f>
        <v>1700</v>
      </c>
      <c r="M10" s="3">
        <f>SUM(M6:M8)</f>
        <v>1700</v>
      </c>
      <c r="N10" s="3">
        <f>SUM(N6:N8)</f>
        <v>1700</v>
      </c>
    </row>
    <row r="12" spans="2:14" ht="15.6" x14ac:dyDescent="0.3">
      <c r="B12" s="4" t="s">
        <v>17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</row>
    <row r="13" spans="2:14" x14ac:dyDescent="0.3">
      <c r="B13" s="3" t="s">
        <v>18</v>
      </c>
      <c r="C13" s="3">
        <v>500</v>
      </c>
      <c r="D13" s="3">
        <v>500</v>
      </c>
      <c r="E13" s="3">
        <v>500</v>
      </c>
      <c r="F13" s="3">
        <v>500</v>
      </c>
      <c r="G13" s="3">
        <v>500</v>
      </c>
      <c r="H13" s="3">
        <v>500</v>
      </c>
      <c r="I13" s="3">
        <v>500</v>
      </c>
      <c r="J13" s="3">
        <v>500</v>
      </c>
      <c r="K13" s="3">
        <v>500</v>
      </c>
      <c r="L13" s="3">
        <v>500</v>
      </c>
      <c r="M13" s="3">
        <v>500</v>
      </c>
      <c r="N13" s="3">
        <v>500</v>
      </c>
    </row>
    <row r="14" spans="2:14" x14ac:dyDescent="0.3">
      <c r="B14" s="3" t="s">
        <v>19</v>
      </c>
      <c r="C14" s="3">
        <v>300</v>
      </c>
      <c r="D14" s="3">
        <v>300</v>
      </c>
      <c r="E14" s="3">
        <v>300</v>
      </c>
      <c r="F14" s="3">
        <v>300</v>
      </c>
      <c r="G14" s="3">
        <v>300</v>
      </c>
      <c r="H14" s="3">
        <v>300</v>
      </c>
      <c r="I14" s="3">
        <v>300</v>
      </c>
      <c r="J14" s="3">
        <v>300</v>
      </c>
      <c r="K14" s="3">
        <v>300</v>
      </c>
      <c r="L14" s="3">
        <v>300</v>
      </c>
      <c r="M14" s="3">
        <v>300</v>
      </c>
      <c r="N14" s="3">
        <v>300</v>
      </c>
    </row>
    <row r="15" spans="2:14" x14ac:dyDescent="0.3">
      <c r="B15" s="3" t="s">
        <v>20</v>
      </c>
      <c r="C15" s="3">
        <v>100</v>
      </c>
      <c r="D15" s="3">
        <v>100</v>
      </c>
      <c r="E15" s="3">
        <v>100</v>
      </c>
      <c r="F15" s="3">
        <v>100</v>
      </c>
      <c r="G15" s="3">
        <v>100</v>
      </c>
      <c r="H15" s="3">
        <v>100</v>
      </c>
      <c r="I15" s="3">
        <v>100</v>
      </c>
      <c r="J15" s="3">
        <v>100</v>
      </c>
      <c r="K15" s="3">
        <v>100</v>
      </c>
      <c r="L15" s="3">
        <v>100</v>
      </c>
      <c r="M15" s="3">
        <v>100</v>
      </c>
      <c r="N15" s="3">
        <v>100</v>
      </c>
    </row>
    <row r="16" spans="2:14" x14ac:dyDescent="0.3">
      <c r="B16" s="3" t="s">
        <v>21</v>
      </c>
      <c r="C16" s="3">
        <v>300</v>
      </c>
      <c r="D16" s="3">
        <v>300</v>
      </c>
      <c r="E16" s="3">
        <v>300</v>
      </c>
      <c r="F16" s="3">
        <v>300</v>
      </c>
      <c r="G16" s="3">
        <v>300</v>
      </c>
      <c r="H16" s="3">
        <v>300</v>
      </c>
      <c r="I16" s="3">
        <v>300</v>
      </c>
      <c r="J16" s="3">
        <v>300</v>
      </c>
      <c r="K16" s="3">
        <v>300</v>
      </c>
      <c r="L16" s="3">
        <v>300</v>
      </c>
      <c r="M16" s="3">
        <v>300</v>
      </c>
      <c r="N16" s="3">
        <v>300</v>
      </c>
    </row>
    <row r="17" spans="2:14" x14ac:dyDescent="0.3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2:14" x14ac:dyDescent="0.3">
      <c r="B18" s="5" t="s">
        <v>22</v>
      </c>
      <c r="C18" s="3">
        <f>SUM(C13:C16)</f>
        <v>1200</v>
      </c>
      <c r="D18" s="3">
        <f t="shared" ref="D18:N18" si="0">SUM(D13:D16)</f>
        <v>1200</v>
      </c>
      <c r="E18" s="3">
        <f t="shared" si="0"/>
        <v>1200</v>
      </c>
      <c r="F18" s="3">
        <f t="shared" si="0"/>
        <v>1200</v>
      </c>
      <c r="G18" s="3">
        <f t="shared" si="0"/>
        <v>1200</v>
      </c>
      <c r="H18" s="3">
        <f t="shared" si="0"/>
        <v>1200</v>
      </c>
      <c r="I18" s="3">
        <f t="shared" si="0"/>
        <v>1200</v>
      </c>
      <c r="J18" s="3">
        <f t="shared" si="0"/>
        <v>1200</v>
      </c>
      <c r="K18" s="3">
        <f t="shared" si="0"/>
        <v>1200</v>
      </c>
      <c r="L18" s="3">
        <f t="shared" si="0"/>
        <v>1200</v>
      </c>
      <c r="M18" s="3">
        <f t="shared" si="0"/>
        <v>1200</v>
      </c>
      <c r="N18" s="3">
        <f t="shared" si="0"/>
        <v>1200</v>
      </c>
    </row>
    <row r="19" spans="2:14" x14ac:dyDescent="0.3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2:14" x14ac:dyDescent="0.3">
      <c r="B20" s="5" t="s">
        <v>23</v>
      </c>
      <c r="C20" s="3">
        <f>C10-C18</f>
        <v>500</v>
      </c>
      <c r="D20" s="3">
        <f t="shared" ref="D20:N20" si="1">D10-D18</f>
        <v>500</v>
      </c>
      <c r="E20" s="3">
        <f t="shared" si="1"/>
        <v>500</v>
      </c>
      <c r="F20" s="3">
        <f t="shared" si="1"/>
        <v>500</v>
      </c>
      <c r="G20" s="3">
        <f t="shared" si="1"/>
        <v>500</v>
      </c>
      <c r="H20" s="3">
        <f t="shared" si="1"/>
        <v>500</v>
      </c>
      <c r="I20" s="3">
        <f t="shared" si="1"/>
        <v>500</v>
      </c>
      <c r="J20" s="3">
        <f t="shared" si="1"/>
        <v>500</v>
      </c>
      <c r="K20" s="3">
        <f t="shared" si="1"/>
        <v>500</v>
      </c>
      <c r="L20" s="3">
        <f t="shared" si="1"/>
        <v>500</v>
      </c>
      <c r="M20" s="3">
        <f t="shared" si="1"/>
        <v>500</v>
      </c>
      <c r="N20" s="3">
        <f t="shared" si="1"/>
        <v>500</v>
      </c>
    </row>
    <row r="21" spans="2:14" x14ac:dyDescent="0.3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2:14" x14ac:dyDescent="0.3">
      <c r="B22" s="5" t="s">
        <v>25</v>
      </c>
      <c r="C22" s="3">
        <v>500</v>
      </c>
      <c r="D22" s="3">
        <v>1000</v>
      </c>
      <c r="E22" s="3">
        <v>1500</v>
      </c>
      <c r="F22" s="3">
        <v>2000</v>
      </c>
      <c r="G22" s="3">
        <v>2500</v>
      </c>
      <c r="H22" s="3">
        <v>3000</v>
      </c>
      <c r="I22" s="3">
        <v>3500</v>
      </c>
      <c r="J22" s="3">
        <v>4000</v>
      </c>
      <c r="K22" s="3">
        <v>4500</v>
      </c>
      <c r="L22" s="3">
        <v>5000</v>
      </c>
      <c r="M22" s="3">
        <v>5500</v>
      </c>
      <c r="N22" s="3">
        <v>6000</v>
      </c>
    </row>
  </sheetData>
  <mergeCells count="3">
    <mergeCell ref="B3:N3"/>
    <mergeCell ref="B5:N5"/>
    <mergeCell ref="B12:N1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ar_formato">
                <anchor moveWithCells="1" sizeWithCells="1">
                  <from>
                    <xdr:col>14</xdr:col>
                    <xdr:colOff>502920</xdr:colOff>
                    <xdr:row>4</xdr:row>
                    <xdr:rowOff>106680</xdr:rowOff>
                  </from>
                  <to>
                    <xdr:col>16</xdr:col>
                    <xdr:colOff>693420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ar_formato">
                <anchor moveWithCells="1" sizeWithCells="1">
                  <from>
                    <xdr:col>14</xdr:col>
                    <xdr:colOff>678180</xdr:colOff>
                    <xdr:row>11</xdr:row>
                    <xdr:rowOff>160020</xdr:rowOff>
                  </from>
                  <to>
                    <xdr:col>17</xdr:col>
                    <xdr:colOff>281940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0DD90-8E7F-483F-AC11-551E60512F71}">
  <dimension ref="B3:N20"/>
  <sheetViews>
    <sheetView tabSelected="1" workbookViewId="0">
      <selection activeCell="M11" sqref="M11"/>
    </sheetView>
  </sheetViews>
  <sheetFormatPr baseColWidth="10" defaultRowHeight="14.4" x14ac:dyDescent="0.3"/>
  <cols>
    <col min="2" max="2" width="12.33203125" customWidth="1"/>
    <col min="6" max="6" width="13.88671875" customWidth="1"/>
    <col min="7" max="7" width="13.77734375" customWidth="1"/>
    <col min="8" max="8" width="14.5546875" customWidth="1"/>
    <col min="10" max="10" width="18.77734375" customWidth="1"/>
    <col min="11" max="11" width="13.77734375" customWidth="1"/>
    <col min="12" max="12" width="13.21875" customWidth="1"/>
    <col min="13" max="14" width="12.77734375" customWidth="1"/>
  </cols>
  <sheetData>
    <row r="3" spans="2:14" x14ac:dyDescent="0.3">
      <c r="B3" s="7" t="s">
        <v>26</v>
      </c>
      <c r="C3" s="7"/>
      <c r="D3" s="7"/>
      <c r="E3" s="7"/>
      <c r="F3" s="7"/>
      <c r="G3" s="7"/>
      <c r="H3" s="7"/>
      <c r="J3" s="7" t="s">
        <v>70</v>
      </c>
      <c r="K3" s="7"/>
      <c r="L3" s="7"/>
      <c r="M3" s="7"/>
      <c r="N3" s="7"/>
    </row>
    <row r="5" spans="2:14" ht="16.8" customHeight="1" x14ac:dyDescent="0.3">
      <c r="B5" s="8" t="s">
        <v>27</v>
      </c>
      <c r="C5" s="8" t="s">
        <v>28</v>
      </c>
      <c r="D5" s="8" t="s">
        <v>29</v>
      </c>
      <c r="E5" s="8" t="s">
        <v>30</v>
      </c>
      <c r="F5" s="8" t="s">
        <v>31</v>
      </c>
      <c r="G5" s="8" t="s">
        <v>32</v>
      </c>
      <c r="H5" s="8" t="s">
        <v>33</v>
      </c>
      <c r="J5" s="8" t="s">
        <v>30</v>
      </c>
      <c r="K5" s="8" t="s">
        <v>37</v>
      </c>
      <c r="L5" s="8" t="s">
        <v>53</v>
      </c>
      <c r="M5" s="8" t="s">
        <v>41</v>
      </c>
      <c r="N5" s="8" t="s">
        <v>50</v>
      </c>
    </row>
    <row r="6" spans="2:14" x14ac:dyDescent="0.3">
      <c r="B6" s="9" t="s">
        <v>34</v>
      </c>
      <c r="C6" s="9" t="s">
        <v>35</v>
      </c>
      <c r="D6" s="9" t="s">
        <v>36</v>
      </c>
      <c r="E6" s="9" t="s">
        <v>37</v>
      </c>
      <c r="F6" s="11">
        <v>774.39</v>
      </c>
      <c r="G6" s="11">
        <v>92.93</v>
      </c>
      <c r="H6" s="12">
        <f>F6+G6</f>
        <v>867.31999999999994</v>
      </c>
      <c r="J6" s="8" t="s">
        <v>71</v>
      </c>
      <c r="K6" s="10">
        <f>COUNTIF(E6:E20,"A")</f>
        <v>6</v>
      </c>
      <c r="L6" s="10">
        <f>COUNTIF(E6:E20,"B")</f>
        <v>3</v>
      </c>
      <c r="M6" s="10">
        <f>COUNTIF(E6:E20,"C")</f>
        <v>4</v>
      </c>
      <c r="N6" s="10">
        <f>COUNTIF(E6:E20,"D")</f>
        <v>2</v>
      </c>
    </row>
    <row r="7" spans="2:14" x14ac:dyDescent="0.3">
      <c r="B7" s="9" t="s">
        <v>38</v>
      </c>
      <c r="C7" s="9" t="s">
        <v>39</v>
      </c>
      <c r="D7" s="9" t="s">
        <v>40</v>
      </c>
      <c r="E7" s="9" t="s">
        <v>41</v>
      </c>
      <c r="F7" s="11">
        <v>531.88</v>
      </c>
      <c r="G7" s="11">
        <v>79.78</v>
      </c>
      <c r="H7" s="12">
        <f t="shared" ref="H7:H20" si="0">F7+G7</f>
        <v>611.66</v>
      </c>
      <c r="J7" s="8" t="s">
        <v>72</v>
      </c>
      <c r="K7" s="12">
        <f>SUMIF(E6:E20,"A",H6:H20)</f>
        <v>2735.54</v>
      </c>
      <c r="L7" s="12">
        <f>SUMIF(E6:E20,"B",H6:H20)</f>
        <v>1688.6899999999998</v>
      </c>
      <c r="M7" s="12">
        <f>SUMIF(E6:E20,"C",H6:H20)</f>
        <v>2258.2600000000002</v>
      </c>
      <c r="N7" s="12">
        <f>SUMIF(E6:E20,"D",H6:H20)</f>
        <v>1004.8499999999999</v>
      </c>
    </row>
    <row r="8" spans="2:14" x14ac:dyDescent="0.3">
      <c r="B8" s="9" t="s">
        <v>42</v>
      </c>
      <c r="C8" s="9" t="s">
        <v>43</v>
      </c>
      <c r="D8" s="9" t="s">
        <v>40</v>
      </c>
      <c r="E8" s="9" t="s">
        <v>37</v>
      </c>
      <c r="F8" s="11">
        <v>268.02999999999997</v>
      </c>
      <c r="G8" s="11">
        <v>40.200000000000003</v>
      </c>
      <c r="H8" s="12">
        <f t="shared" si="0"/>
        <v>308.22999999999996</v>
      </c>
    </row>
    <row r="9" spans="2:14" x14ac:dyDescent="0.3">
      <c r="B9" s="9" t="s">
        <v>44</v>
      </c>
      <c r="C9" s="9" t="s">
        <v>45</v>
      </c>
      <c r="D9" s="9" t="s">
        <v>36</v>
      </c>
      <c r="E9" s="9" t="s">
        <v>37</v>
      </c>
      <c r="F9" s="11">
        <v>364.73</v>
      </c>
      <c r="G9" s="11">
        <v>43.77</v>
      </c>
      <c r="H9" s="12">
        <f t="shared" si="0"/>
        <v>408.5</v>
      </c>
      <c r="J9" s="8" t="s">
        <v>29</v>
      </c>
      <c r="K9" s="8" t="s">
        <v>73</v>
      </c>
      <c r="L9" s="8" t="s">
        <v>74</v>
      </c>
    </row>
    <row r="10" spans="2:14" x14ac:dyDescent="0.3">
      <c r="B10" s="9" t="s">
        <v>46</v>
      </c>
      <c r="C10" s="9" t="s">
        <v>47</v>
      </c>
      <c r="D10" s="9" t="s">
        <v>36</v>
      </c>
      <c r="E10" s="9" t="s">
        <v>41</v>
      </c>
      <c r="F10" s="11">
        <v>385.62</v>
      </c>
      <c r="G10" s="11">
        <v>57.84</v>
      </c>
      <c r="H10" s="12">
        <f t="shared" si="0"/>
        <v>443.46000000000004</v>
      </c>
      <c r="J10" s="8" t="s">
        <v>71</v>
      </c>
      <c r="K10" s="10">
        <f>COUNTIF(D6:D20,"F")</f>
        <v>8</v>
      </c>
      <c r="L10" s="10">
        <f>COUNTIF(D6:D20,"M")</f>
        <v>7</v>
      </c>
    </row>
    <row r="11" spans="2:14" x14ac:dyDescent="0.3">
      <c r="B11" s="9" t="s">
        <v>48</v>
      </c>
      <c r="C11" s="9" t="s">
        <v>49</v>
      </c>
      <c r="D11" s="9" t="s">
        <v>40</v>
      </c>
      <c r="E11" s="9" t="s">
        <v>50</v>
      </c>
      <c r="F11" s="11">
        <v>697.81</v>
      </c>
      <c r="G11" s="11">
        <v>104.67</v>
      </c>
      <c r="H11" s="12">
        <f t="shared" si="0"/>
        <v>802.4799999999999</v>
      </c>
      <c r="J11" s="8" t="s">
        <v>72</v>
      </c>
      <c r="K11" s="12">
        <f>SUMIF(D6:D20,"F",H6:H20)</f>
        <v>3887.0400000000004</v>
      </c>
      <c r="L11" s="12">
        <f>SUMIF(D6:D20,"M",H6:H20)</f>
        <v>3800.3</v>
      </c>
    </row>
    <row r="12" spans="2:14" x14ac:dyDescent="0.3">
      <c r="B12" s="9" t="s">
        <v>51</v>
      </c>
      <c r="C12" s="9" t="s">
        <v>52</v>
      </c>
      <c r="D12" s="9" t="s">
        <v>40</v>
      </c>
      <c r="E12" s="9" t="s">
        <v>53</v>
      </c>
      <c r="F12" s="11">
        <v>472.3</v>
      </c>
      <c r="G12" s="11">
        <v>70.849999999999994</v>
      </c>
      <c r="H12" s="12">
        <f t="shared" si="0"/>
        <v>543.15</v>
      </c>
    </row>
    <row r="13" spans="2:14" x14ac:dyDescent="0.3">
      <c r="B13" s="9" t="s">
        <v>54</v>
      </c>
      <c r="C13" s="9" t="s">
        <v>55</v>
      </c>
      <c r="D13" s="9" t="s">
        <v>40</v>
      </c>
      <c r="E13" s="9" t="s">
        <v>37</v>
      </c>
      <c r="F13" s="11">
        <v>522.89</v>
      </c>
      <c r="G13" s="11">
        <v>78.430000000000007</v>
      </c>
      <c r="H13" s="12">
        <f t="shared" si="0"/>
        <v>601.31999999999994</v>
      </c>
    </row>
    <row r="14" spans="2:14" x14ac:dyDescent="0.3">
      <c r="B14" s="9" t="s">
        <v>56</v>
      </c>
      <c r="C14" s="9" t="s">
        <v>57</v>
      </c>
      <c r="D14" s="9" t="s">
        <v>36</v>
      </c>
      <c r="E14" s="9" t="s">
        <v>53</v>
      </c>
      <c r="F14" s="11">
        <v>603.13</v>
      </c>
      <c r="G14" s="11">
        <v>72.38</v>
      </c>
      <c r="H14" s="12">
        <f t="shared" si="0"/>
        <v>675.51</v>
      </c>
    </row>
    <row r="15" spans="2:14" x14ac:dyDescent="0.3">
      <c r="B15" s="9" t="s">
        <v>58</v>
      </c>
      <c r="C15" s="9" t="s">
        <v>59</v>
      </c>
      <c r="D15" s="9" t="s">
        <v>40</v>
      </c>
      <c r="E15" s="9" t="s">
        <v>37</v>
      </c>
      <c r="F15" s="11">
        <v>299.39999999999998</v>
      </c>
      <c r="G15" s="11">
        <v>44.91</v>
      </c>
      <c r="H15" s="12">
        <f t="shared" si="0"/>
        <v>344.30999999999995</v>
      </c>
    </row>
    <row r="16" spans="2:14" x14ac:dyDescent="0.3">
      <c r="B16" s="9" t="s">
        <v>60</v>
      </c>
      <c r="C16" s="9" t="s">
        <v>61</v>
      </c>
      <c r="D16" s="9" t="s">
        <v>40</v>
      </c>
      <c r="E16" s="9" t="s">
        <v>53</v>
      </c>
      <c r="F16" s="11">
        <v>408.72</v>
      </c>
      <c r="G16" s="11">
        <v>61.31</v>
      </c>
      <c r="H16" s="12">
        <f t="shared" si="0"/>
        <v>470.03000000000003</v>
      </c>
    </row>
    <row r="17" spans="2:8" x14ac:dyDescent="0.3">
      <c r="B17" s="9" t="s">
        <v>62</v>
      </c>
      <c r="C17" s="9" t="s">
        <v>63</v>
      </c>
      <c r="D17" s="9" t="s">
        <v>36</v>
      </c>
      <c r="E17" s="9" t="s">
        <v>41</v>
      </c>
      <c r="F17" s="11">
        <v>313.12</v>
      </c>
      <c r="G17" s="11">
        <v>37.57</v>
      </c>
      <c r="H17" s="12">
        <f t="shared" si="0"/>
        <v>350.69</v>
      </c>
    </row>
    <row r="18" spans="2:8" x14ac:dyDescent="0.3">
      <c r="B18" s="9" t="s">
        <v>64</v>
      </c>
      <c r="C18" s="9" t="s">
        <v>65</v>
      </c>
      <c r="D18" s="9" t="s">
        <v>40</v>
      </c>
      <c r="E18" s="9" t="s">
        <v>37</v>
      </c>
      <c r="F18" s="11">
        <v>179.01</v>
      </c>
      <c r="G18" s="11">
        <v>26.85</v>
      </c>
      <c r="H18" s="12">
        <f t="shared" si="0"/>
        <v>205.85999999999999</v>
      </c>
    </row>
    <row r="19" spans="2:8" x14ac:dyDescent="0.3">
      <c r="B19" s="9" t="s">
        <v>66</v>
      </c>
      <c r="C19" s="9" t="s">
        <v>67</v>
      </c>
      <c r="D19" s="9" t="s">
        <v>36</v>
      </c>
      <c r="E19" s="9" t="s">
        <v>41</v>
      </c>
      <c r="F19" s="11">
        <v>761.12</v>
      </c>
      <c r="G19" s="11">
        <v>91.33</v>
      </c>
      <c r="H19" s="12">
        <f t="shared" si="0"/>
        <v>852.45</v>
      </c>
    </row>
    <row r="20" spans="2:8" x14ac:dyDescent="0.3">
      <c r="B20" s="9" t="s">
        <v>68</v>
      </c>
      <c r="C20" s="9" t="s">
        <v>69</v>
      </c>
      <c r="D20" s="9" t="s">
        <v>36</v>
      </c>
      <c r="E20" s="9" t="s">
        <v>50</v>
      </c>
      <c r="F20" s="11">
        <v>180.69</v>
      </c>
      <c r="G20" s="11">
        <v>21.68</v>
      </c>
      <c r="H20" s="12">
        <f t="shared" si="0"/>
        <v>202.37</v>
      </c>
    </row>
  </sheetData>
  <mergeCells count="2">
    <mergeCell ref="B3:H3"/>
    <mergeCell ref="J3:N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ato">
                <anchor moveWithCells="1" sizeWithCells="1">
                  <from>
                    <xdr:col>9</xdr:col>
                    <xdr:colOff>0</xdr:colOff>
                    <xdr:row>15</xdr:row>
                    <xdr:rowOff>22860</xdr:rowOff>
                  </from>
                  <to>
                    <xdr:col>10</xdr:col>
                    <xdr:colOff>388620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OMEN</dc:creator>
  <cp:lastModifiedBy>OMEN</cp:lastModifiedBy>
  <dcterms:created xsi:type="dcterms:W3CDTF">2024-04-17T23:10:43Z</dcterms:created>
  <dcterms:modified xsi:type="dcterms:W3CDTF">2024-04-18T00:47:55Z</dcterms:modified>
</cp:coreProperties>
</file>